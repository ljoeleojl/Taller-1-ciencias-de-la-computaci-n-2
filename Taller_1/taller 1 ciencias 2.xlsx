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udiantes\Downloads\"/>
    </mc:Choice>
  </mc:AlternateContent>
  <xr:revisionPtr revIDLastSave="0" documentId="8_{8EC608F2-0A0A-48C0-AEA6-61F5C433BA5A}" xr6:coauthVersionLast="47" xr6:coauthVersionMax="47" xr10:uidLastSave="{00000000-0000-0000-0000-000000000000}"/>
  <bookViews>
    <workbookView xWindow="-120" yWindow="-120" windowWidth="29040" windowHeight="15720" xr2:uid="{841A48EF-C1F3-4FA4-A798-B72E4D1FE5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3" i="1"/>
  <c r="F3" i="1"/>
  <c r="D37" i="1"/>
  <c r="E37" i="1" s="1"/>
  <c r="D45" i="1"/>
  <c r="E45" i="1" s="1"/>
  <c r="D5" i="1"/>
  <c r="E5" i="1" s="1"/>
  <c r="D13" i="1"/>
  <c r="E13" i="1" s="1"/>
  <c r="D21" i="1"/>
  <c r="E21" i="1" s="1"/>
  <c r="D29" i="1"/>
  <c r="E29" i="1" s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3" i="1"/>
  <c r="B4" i="1"/>
  <c r="D4" i="1" s="1"/>
  <c r="E4" i="1" s="1"/>
  <c r="B5" i="1"/>
  <c r="B6" i="1"/>
  <c r="D6" i="1" s="1"/>
  <c r="E6" i="1" s="1"/>
  <c r="B7" i="1"/>
  <c r="D7" i="1" s="1"/>
  <c r="E7" i="1" s="1"/>
  <c r="B8" i="1"/>
  <c r="D8" i="1" s="1"/>
  <c r="E8" i="1" s="1"/>
  <c r="B9" i="1"/>
  <c r="D9" i="1" s="1"/>
  <c r="E9" i="1" s="1"/>
  <c r="B10" i="1"/>
  <c r="D10" i="1" s="1"/>
  <c r="E10" i="1" s="1"/>
  <c r="B11" i="1"/>
  <c r="D11" i="1" s="1"/>
  <c r="E11" i="1" s="1"/>
  <c r="B12" i="1"/>
  <c r="D12" i="1" s="1"/>
  <c r="E12" i="1" s="1"/>
  <c r="B13" i="1"/>
  <c r="B14" i="1"/>
  <c r="D14" i="1" s="1"/>
  <c r="E14" i="1" s="1"/>
  <c r="B15" i="1"/>
  <c r="D15" i="1" s="1"/>
  <c r="E15" i="1" s="1"/>
  <c r="B16" i="1"/>
  <c r="D16" i="1" s="1"/>
  <c r="E16" i="1" s="1"/>
  <c r="B17" i="1"/>
  <c r="D17" i="1" s="1"/>
  <c r="E17" i="1" s="1"/>
  <c r="B18" i="1"/>
  <c r="D18" i="1" s="1"/>
  <c r="E18" i="1" s="1"/>
  <c r="B19" i="1"/>
  <c r="D19" i="1" s="1"/>
  <c r="E19" i="1" s="1"/>
  <c r="B20" i="1"/>
  <c r="D20" i="1" s="1"/>
  <c r="E20" i="1" s="1"/>
  <c r="B21" i="1"/>
  <c r="B22" i="1"/>
  <c r="D22" i="1" s="1"/>
  <c r="E22" i="1" s="1"/>
  <c r="B23" i="1"/>
  <c r="D23" i="1" s="1"/>
  <c r="E23" i="1" s="1"/>
  <c r="B24" i="1"/>
  <c r="D24" i="1" s="1"/>
  <c r="E24" i="1" s="1"/>
  <c r="B25" i="1"/>
  <c r="D25" i="1" s="1"/>
  <c r="E25" i="1" s="1"/>
  <c r="B26" i="1"/>
  <c r="D26" i="1" s="1"/>
  <c r="E26" i="1" s="1"/>
  <c r="B27" i="1"/>
  <c r="D27" i="1" s="1"/>
  <c r="E27" i="1" s="1"/>
  <c r="B28" i="1"/>
  <c r="D28" i="1" s="1"/>
  <c r="E28" i="1" s="1"/>
  <c r="B29" i="1"/>
  <c r="B30" i="1"/>
  <c r="D30" i="1" s="1"/>
  <c r="E30" i="1" s="1"/>
  <c r="B31" i="1"/>
  <c r="D31" i="1" s="1"/>
  <c r="E31" i="1" s="1"/>
  <c r="B32" i="1"/>
  <c r="D32" i="1" s="1"/>
  <c r="E32" i="1" s="1"/>
  <c r="B33" i="1"/>
  <c r="D33" i="1" s="1"/>
  <c r="E33" i="1" s="1"/>
  <c r="B34" i="1"/>
  <c r="D34" i="1" s="1"/>
  <c r="E34" i="1" s="1"/>
  <c r="B35" i="1"/>
  <c r="D35" i="1" s="1"/>
  <c r="E35" i="1" s="1"/>
  <c r="B36" i="1"/>
  <c r="D36" i="1" s="1"/>
  <c r="E36" i="1" s="1"/>
  <c r="B37" i="1"/>
  <c r="B38" i="1"/>
  <c r="D38" i="1" s="1"/>
  <c r="E38" i="1" s="1"/>
  <c r="B39" i="1"/>
  <c r="D39" i="1" s="1"/>
  <c r="E39" i="1" s="1"/>
  <c r="B40" i="1"/>
  <c r="D40" i="1" s="1"/>
  <c r="E40" i="1" s="1"/>
  <c r="B41" i="1"/>
  <c r="D41" i="1" s="1"/>
  <c r="E41" i="1" s="1"/>
  <c r="B42" i="1"/>
  <c r="D42" i="1" s="1"/>
  <c r="E42" i="1" s="1"/>
  <c r="B43" i="1"/>
  <c r="D43" i="1" s="1"/>
  <c r="E43" i="1" s="1"/>
  <c r="B44" i="1"/>
  <c r="D44" i="1" s="1"/>
  <c r="E44" i="1" s="1"/>
  <c r="B45" i="1"/>
  <c r="B46" i="1"/>
  <c r="D46" i="1" s="1"/>
  <c r="E46" i="1" s="1"/>
  <c r="B47" i="1"/>
  <c r="D47" i="1" s="1"/>
  <c r="E47" i="1" s="1"/>
  <c r="B48" i="1"/>
  <c r="D48" i="1" s="1"/>
  <c r="E48" i="1" s="1"/>
  <c r="B49" i="1"/>
  <c r="D49" i="1" s="1"/>
  <c r="E49" i="1" s="1"/>
  <c r="B50" i="1"/>
  <c r="D50" i="1" s="1"/>
  <c r="E50" i="1" s="1"/>
  <c r="B51" i="1"/>
  <c r="D51" i="1" s="1"/>
  <c r="E51" i="1" s="1"/>
  <c r="B3" i="1"/>
  <c r="D3" i="1" s="1"/>
  <c r="E3" i="1" s="1"/>
</calcChain>
</file>

<file path=xl/sharedStrings.xml><?xml version="1.0" encoding="utf-8"?>
<sst xmlns="http://schemas.openxmlformats.org/spreadsheetml/2006/main" count="13" uniqueCount="13">
  <si>
    <t>m</t>
  </si>
  <si>
    <t>datos</t>
  </si>
  <si>
    <t>niveles</t>
  </si>
  <si>
    <t>num preguntas</t>
  </si>
  <si>
    <t>cant total reservada</t>
  </si>
  <si>
    <t>desperdicio</t>
  </si>
  <si>
    <t>minimo</t>
  </si>
  <si>
    <t>mejor tiempo</t>
  </si>
  <si>
    <t>niveles * 1000 / disco</t>
  </si>
  <si>
    <t>num preguntas * 1 / RAM</t>
  </si>
  <si>
    <t>tiempo total / ms</t>
  </si>
  <si>
    <t>opcion elegida</t>
  </si>
  <si>
    <t>orden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</si>
</sst>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1" xfId="1" applyBorder="1" applyAlignment="1">
      <alignment horizontal="center"/>
    </xf>
  </cellXfs>
  <cellStyles count="2">
    <cellStyle name="Énfasis5" xfId="1" builtinId="45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8A13E-C37B-4C6A-95C2-60728B1C1EB7}">
  <dimension ref="A1:K51"/>
  <sheetViews>
    <sheetView tabSelected="1" workbookViewId="0">
      <selection activeCell="N5" sqref="N5"/>
    </sheetView>
  </sheetViews>
  <sheetFormatPr baseColWidth="10" defaultRowHeight="15" x14ac:dyDescent="0.25"/>
  <cols>
    <col min="2" max="2" width="9" bestFit="1" customWidth="1"/>
    <col min="3" max="3" width="14.28515625" bestFit="1" customWidth="1"/>
    <col min="4" max="4" width="18.5703125" bestFit="1" customWidth="1"/>
    <col min="6" max="6" width="10" bestFit="1" customWidth="1"/>
    <col min="7" max="7" width="19.5703125" bestFit="1" customWidth="1"/>
    <col min="8" max="8" width="22.85546875" bestFit="1" customWidth="1"/>
    <col min="9" max="9" width="15.85546875" bestFit="1" customWidth="1"/>
    <col min="10" max="10" width="12.7109375" bestFit="1" customWidth="1"/>
    <col min="11" max="11" width="14" bestFit="1" customWidth="1"/>
  </cols>
  <sheetData>
    <row r="1" spans="1:11" x14ac:dyDescent="0.25">
      <c r="A1" s="1" t="s">
        <v>1</v>
      </c>
      <c r="B1" s="1">
        <v>14735917</v>
      </c>
      <c r="C1" s="1"/>
      <c r="D1" s="1"/>
      <c r="E1" s="1"/>
      <c r="F1" s="1"/>
      <c r="G1" s="1"/>
      <c r="H1" s="1"/>
      <c r="I1" s="1"/>
      <c r="J1" s="1"/>
    </row>
    <row r="2" spans="1:11" x14ac:dyDescent="0.25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8</v>
      </c>
      <c r="H2" s="2" t="s">
        <v>9</v>
      </c>
      <c r="I2" s="2" t="s">
        <v>10</v>
      </c>
      <c r="J2" s="2" t="s">
        <v>7</v>
      </c>
      <c r="K2" s="3" t="s">
        <v>11</v>
      </c>
    </row>
    <row r="3" spans="1:11" x14ac:dyDescent="0.25">
      <c r="A3" s="2">
        <v>2</v>
      </c>
      <c r="B3" s="2">
        <f>ROUNDUP(LOG($B$1,A3),0)</f>
        <v>24</v>
      </c>
      <c r="C3" s="2">
        <f>ROUNDUP(LOG(A3,$A$3),0)</f>
        <v>1</v>
      </c>
      <c r="D3" s="2">
        <f>A3^B3</f>
        <v>16777216</v>
      </c>
      <c r="E3" s="2">
        <f>D3-$B$1</f>
        <v>2041299</v>
      </c>
      <c r="F3" s="2">
        <f>MIN(E3:E51)</f>
        <v>2041299</v>
      </c>
      <c r="G3" s="2">
        <f>B3*1000</f>
        <v>24000</v>
      </c>
      <c r="H3" s="2">
        <f>C3*1</f>
        <v>1</v>
      </c>
      <c r="I3" s="2">
        <f>G3*H3</f>
        <v>24000</v>
      </c>
      <c r="J3" s="2">
        <f>MIN(I3:I51)</f>
        <v>24000</v>
      </c>
      <c r="K3" s="2"/>
    </row>
    <row r="4" spans="1:11" x14ac:dyDescent="0.25">
      <c r="A4" s="2">
        <v>3</v>
      </c>
      <c r="B4" s="2">
        <f t="shared" ref="B4:B51" si="0">ROUNDUP(LOG($B$1,A4),0)</f>
        <v>16</v>
      </c>
      <c r="C4" s="2">
        <f t="shared" ref="C4:C51" si="1">ROUNDUP(LOG(A4,$A$3),0)</f>
        <v>2</v>
      </c>
      <c r="D4" s="2">
        <f t="shared" ref="D4:D51" si="2">A4^B4</f>
        <v>43046721</v>
      </c>
      <c r="E4" s="2">
        <f t="shared" ref="E4:E51" si="3">D4-$B$1</f>
        <v>28310804</v>
      </c>
      <c r="F4" s="2"/>
      <c r="G4" s="2">
        <f t="shared" ref="G4:G51" si="4">B4*1000</f>
        <v>16000</v>
      </c>
      <c r="H4" s="2">
        <f t="shared" ref="H4:H51" si="5">C4*1</f>
        <v>2</v>
      </c>
      <c r="I4" s="2">
        <f>G4*H4</f>
        <v>32000</v>
      </c>
      <c r="J4" s="2"/>
      <c r="K4" s="2"/>
    </row>
    <row r="5" spans="1:11" x14ac:dyDescent="0.25">
      <c r="A5" s="2">
        <v>4</v>
      </c>
      <c r="B5" s="2">
        <f t="shared" si="0"/>
        <v>12</v>
      </c>
      <c r="C5" s="2">
        <f t="shared" si="1"/>
        <v>2</v>
      </c>
      <c r="D5" s="2">
        <f t="shared" si="2"/>
        <v>16777216</v>
      </c>
      <c r="E5" s="2">
        <f t="shared" si="3"/>
        <v>2041299</v>
      </c>
      <c r="F5" s="2"/>
      <c r="G5" s="2">
        <f t="shared" si="4"/>
        <v>12000</v>
      </c>
      <c r="H5" s="2">
        <f t="shared" si="5"/>
        <v>2</v>
      </c>
      <c r="I5" s="2">
        <f>G5*H5</f>
        <v>24000</v>
      </c>
      <c r="J5" s="2"/>
      <c r="K5" s="2"/>
    </row>
    <row r="6" spans="1:11" x14ac:dyDescent="0.25">
      <c r="A6" s="2">
        <v>5</v>
      </c>
      <c r="B6" s="2">
        <f t="shared" si="0"/>
        <v>11</v>
      </c>
      <c r="C6" s="2">
        <f t="shared" si="1"/>
        <v>3</v>
      </c>
      <c r="D6" s="2">
        <f t="shared" si="2"/>
        <v>48828125</v>
      </c>
      <c r="E6" s="2">
        <f t="shared" si="3"/>
        <v>34092208</v>
      </c>
      <c r="F6" s="2"/>
      <c r="G6" s="2">
        <f t="shared" si="4"/>
        <v>11000</v>
      </c>
      <c r="H6" s="2">
        <f t="shared" si="5"/>
        <v>3</v>
      </c>
      <c r="I6" s="2">
        <f>G6*H6</f>
        <v>33000</v>
      </c>
      <c r="J6" s="2"/>
      <c r="K6" s="2"/>
    </row>
    <row r="7" spans="1:11" x14ac:dyDescent="0.25">
      <c r="A7" s="2">
        <v>6</v>
      </c>
      <c r="B7" s="2">
        <f t="shared" si="0"/>
        <v>10</v>
      </c>
      <c r="C7" s="2">
        <f t="shared" si="1"/>
        <v>3</v>
      </c>
      <c r="D7" s="2">
        <f t="shared" si="2"/>
        <v>60466176</v>
      </c>
      <c r="E7" s="2">
        <f t="shared" si="3"/>
        <v>45730259</v>
      </c>
      <c r="F7" s="2"/>
      <c r="G7" s="2">
        <f t="shared" si="4"/>
        <v>10000</v>
      </c>
      <c r="H7" s="2">
        <f t="shared" si="5"/>
        <v>3</v>
      </c>
      <c r="I7" s="2">
        <f>G7*H7</f>
        <v>30000</v>
      </c>
      <c r="J7" s="2"/>
      <c r="K7" s="2"/>
    </row>
    <row r="8" spans="1:11" x14ac:dyDescent="0.25">
      <c r="A8" s="2">
        <v>7</v>
      </c>
      <c r="B8" s="2">
        <f t="shared" si="0"/>
        <v>9</v>
      </c>
      <c r="C8" s="2">
        <f t="shared" si="1"/>
        <v>3</v>
      </c>
      <c r="D8" s="2">
        <f t="shared" si="2"/>
        <v>40353607</v>
      </c>
      <c r="E8" s="2">
        <f t="shared" si="3"/>
        <v>25617690</v>
      </c>
      <c r="F8" s="2"/>
      <c r="G8" s="2">
        <f t="shared" si="4"/>
        <v>9000</v>
      </c>
      <c r="H8" s="2">
        <f t="shared" si="5"/>
        <v>3</v>
      </c>
      <c r="I8" s="2">
        <f>G8*H8</f>
        <v>27000</v>
      </c>
      <c r="J8" s="2"/>
      <c r="K8" s="2"/>
    </row>
    <row r="9" spans="1:11" x14ac:dyDescent="0.25">
      <c r="A9" s="2">
        <v>8</v>
      </c>
      <c r="B9" s="2">
        <f t="shared" si="0"/>
        <v>8</v>
      </c>
      <c r="C9" s="2">
        <f t="shared" si="1"/>
        <v>3</v>
      </c>
      <c r="D9" s="2">
        <f t="shared" si="2"/>
        <v>16777216</v>
      </c>
      <c r="E9" s="2">
        <f t="shared" si="3"/>
        <v>2041299</v>
      </c>
      <c r="F9" s="2"/>
      <c r="G9" s="2">
        <f t="shared" si="4"/>
        <v>8000</v>
      </c>
      <c r="H9" s="2">
        <f t="shared" si="5"/>
        <v>3</v>
      </c>
      <c r="I9" s="2">
        <f>G9*H9</f>
        <v>24000</v>
      </c>
      <c r="J9" s="2"/>
      <c r="K9" s="4" t="s">
        <v>12</v>
      </c>
    </row>
    <row r="10" spans="1:11" x14ac:dyDescent="0.25">
      <c r="A10" s="2">
        <v>9</v>
      </c>
      <c r="B10" s="2">
        <f t="shared" si="0"/>
        <v>8</v>
      </c>
      <c r="C10" s="2">
        <f t="shared" si="1"/>
        <v>4</v>
      </c>
      <c r="D10" s="2">
        <f t="shared" si="2"/>
        <v>43046721</v>
      </c>
      <c r="E10" s="2">
        <f t="shared" si="3"/>
        <v>28310804</v>
      </c>
      <c r="F10" s="2"/>
      <c r="G10" s="2">
        <f t="shared" si="4"/>
        <v>8000</v>
      </c>
      <c r="H10" s="2">
        <f t="shared" si="5"/>
        <v>4</v>
      </c>
      <c r="I10" s="2">
        <f>G10*H10</f>
        <v>32000</v>
      </c>
      <c r="J10" s="2"/>
      <c r="K10" s="2"/>
    </row>
    <row r="11" spans="1:11" x14ac:dyDescent="0.25">
      <c r="A11" s="2">
        <v>10</v>
      </c>
      <c r="B11" s="2">
        <f t="shared" si="0"/>
        <v>8</v>
      </c>
      <c r="C11" s="2">
        <f t="shared" si="1"/>
        <v>4</v>
      </c>
      <c r="D11" s="2">
        <f t="shared" si="2"/>
        <v>100000000</v>
      </c>
      <c r="E11" s="2">
        <f t="shared" si="3"/>
        <v>85264083</v>
      </c>
      <c r="F11" s="2"/>
      <c r="G11" s="2">
        <f t="shared" si="4"/>
        <v>8000</v>
      </c>
      <c r="H11" s="2">
        <f t="shared" si="5"/>
        <v>4</v>
      </c>
      <c r="I11" s="2">
        <f>G11*H11</f>
        <v>32000</v>
      </c>
      <c r="J11" s="2"/>
      <c r="K11" s="2"/>
    </row>
    <row r="12" spans="1:11" x14ac:dyDescent="0.25">
      <c r="A12" s="2">
        <v>11</v>
      </c>
      <c r="B12" s="2">
        <f t="shared" si="0"/>
        <v>7</v>
      </c>
      <c r="C12" s="2">
        <f t="shared" si="1"/>
        <v>4</v>
      </c>
      <c r="D12" s="2">
        <f t="shared" si="2"/>
        <v>19487171</v>
      </c>
      <c r="E12" s="2">
        <f t="shared" si="3"/>
        <v>4751254</v>
      </c>
      <c r="F12" s="2"/>
      <c r="G12" s="2">
        <f t="shared" si="4"/>
        <v>7000</v>
      </c>
      <c r="H12" s="2">
        <f t="shared" si="5"/>
        <v>4</v>
      </c>
      <c r="I12" s="2">
        <f>G12*H12</f>
        <v>28000</v>
      </c>
      <c r="J12" s="2"/>
      <c r="K12" s="2"/>
    </row>
    <row r="13" spans="1:11" x14ac:dyDescent="0.25">
      <c r="A13" s="2">
        <v>12</v>
      </c>
      <c r="B13" s="2">
        <f t="shared" si="0"/>
        <v>7</v>
      </c>
      <c r="C13" s="2">
        <f t="shared" si="1"/>
        <v>4</v>
      </c>
      <c r="D13" s="2">
        <f t="shared" si="2"/>
        <v>35831808</v>
      </c>
      <c r="E13" s="2">
        <f t="shared" si="3"/>
        <v>21095891</v>
      </c>
      <c r="F13" s="2"/>
      <c r="G13" s="2">
        <f t="shared" si="4"/>
        <v>7000</v>
      </c>
      <c r="H13" s="2">
        <f t="shared" si="5"/>
        <v>4</v>
      </c>
      <c r="I13" s="2">
        <f>G13*H13</f>
        <v>28000</v>
      </c>
      <c r="J13" s="2"/>
      <c r="K13" s="2"/>
    </row>
    <row r="14" spans="1:11" x14ac:dyDescent="0.25">
      <c r="A14" s="2">
        <v>13</v>
      </c>
      <c r="B14" s="2">
        <f t="shared" si="0"/>
        <v>7</v>
      </c>
      <c r="C14" s="2">
        <f t="shared" si="1"/>
        <v>4</v>
      </c>
      <c r="D14" s="2">
        <f t="shared" si="2"/>
        <v>62748517</v>
      </c>
      <c r="E14" s="2">
        <f t="shared" si="3"/>
        <v>48012600</v>
      </c>
      <c r="F14" s="2"/>
      <c r="G14" s="2">
        <f t="shared" si="4"/>
        <v>7000</v>
      </c>
      <c r="H14" s="2">
        <f t="shared" si="5"/>
        <v>4</v>
      </c>
      <c r="I14" s="2">
        <f>G14*H14</f>
        <v>28000</v>
      </c>
      <c r="J14" s="2"/>
      <c r="K14" s="2"/>
    </row>
    <row r="15" spans="1:11" x14ac:dyDescent="0.25">
      <c r="A15" s="2">
        <v>14</v>
      </c>
      <c r="B15" s="2">
        <f t="shared" si="0"/>
        <v>7</v>
      </c>
      <c r="C15" s="2">
        <f t="shared" si="1"/>
        <v>4</v>
      </c>
      <c r="D15" s="2">
        <f t="shared" si="2"/>
        <v>105413504</v>
      </c>
      <c r="E15" s="2">
        <f t="shared" si="3"/>
        <v>90677587</v>
      </c>
      <c r="F15" s="2"/>
      <c r="G15" s="2">
        <f t="shared" si="4"/>
        <v>7000</v>
      </c>
      <c r="H15" s="2">
        <f t="shared" si="5"/>
        <v>4</v>
      </c>
      <c r="I15" s="2">
        <f>G15*H15</f>
        <v>28000</v>
      </c>
      <c r="J15" s="2"/>
      <c r="K15" s="2"/>
    </row>
    <row r="16" spans="1:11" x14ac:dyDescent="0.25">
      <c r="A16" s="2">
        <v>15</v>
      </c>
      <c r="B16" s="2">
        <f t="shared" si="0"/>
        <v>7</v>
      </c>
      <c r="C16" s="2">
        <f t="shared" si="1"/>
        <v>4</v>
      </c>
      <c r="D16" s="2">
        <f t="shared" si="2"/>
        <v>170859375</v>
      </c>
      <c r="E16" s="2">
        <f t="shared" si="3"/>
        <v>156123458</v>
      </c>
      <c r="F16" s="2"/>
      <c r="G16" s="2">
        <f t="shared" si="4"/>
        <v>7000</v>
      </c>
      <c r="H16" s="2">
        <f t="shared" si="5"/>
        <v>4</v>
      </c>
      <c r="I16" s="2">
        <f>G16*H16</f>
        <v>28000</v>
      </c>
      <c r="J16" s="2"/>
      <c r="K16" s="2"/>
    </row>
    <row r="17" spans="1:11" x14ac:dyDescent="0.25">
      <c r="A17" s="2">
        <v>16</v>
      </c>
      <c r="B17" s="2">
        <f t="shared" si="0"/>
        <v>6</v>
      </c>
      <c r="C17" s="2">
        <f t="shared" si="1"/>
        <v>4</v>
      </c>
      <c r="D17" s="2">
        <f t="shared" si="2"/>
        <v>16777216</v>
      </c>
      <c r="E17" s="2">
        <f t="shared" si="3"/>
        <v>2041299</v>
      </c>
      <c r="F17" s="2"/>
      <c r="G17" s="2">
        <f t="shared" si="4"/>
        <v>6000</v>
      </c>
      <c r="H17" s="2">
        <f t="shared" si="5"/>
        <v>4</v>
      </c>
      <c r="I17" s="2">
        <f>G17*H17</f>
        <v>24000</v>
      </c>
      <c r="J17" s="2"/>
      <c r="K17" s="2"/>
    </row>
    <row r="18" spans="1:11" x14ac:dyDescent="0.25">
      <c r="A18" s="2">
        <v>17</v>
      </c>
      <c r="B18" s="2">
        <f t="shared" si="0"/>
        <v>6</v>
      </c>
      <c r="C18" s="2">
        <f t="shared" si="1"/>
        <v>5</v>
      </c>
      <c r="D18" s="2">
        <f t="shared" si="2"/>
        <v>24137569</v>
      </c>
      <c r="E18" s="2">
        <f t="shared" si="3"/>
        <v>9401652</v>
      </c>
      <c r="F18" s="2"/>
      <c r="G18" s="2">
        <f t="shared" si="4"/>
        <v>6000</v>
      </c>
      <c r="H18" s="2">
        <f t="shared" si="5"/>
        <v>5</v>
      </c>
      <c r="I18" s="2">
        <f>G18*H18</f>
        <v>30000</v>
      </c>
      <c r="J18" s="2"/>
      <c r="K18" s="2"/>
    </row>
    <row r="19" spans="1:11" x14ac:dyDescent="0.25">
      <c r="A19" s="2">
        <v>18</v>
      </c>
      <c r="B19" s="2">
        <f t="shared" si="0"/>
        <v>6</v>
      </c>
      <c r="C19" s="2">
        <f t="shared" si="1"/>
        <v>5</v>
      </c>
      <c r="D19" s="2">
        <f t="shared" si="2"/>
        <v>34012224</v>
      </c>
      <c r="E19" s="2">
        <f t="shared" si="3"/>
        <v>19276307</v>
      </c>
      <c r="F19" s="2"/>
      <c r="G19" s="2">
        <f t="shared" si="4"/>
        <v>6000</v>
      </c>
      <c r="H19" s="2">
        <f t="shared" si="5"/>
        <v>5</v>
      </c>
      <c r="I19" s="2">
        <f>G19*H19</f>
        <v>30000</v>
      </c>
      <c r="J19" s="2"/>
      <c r="K19" s="2"/>
    </row>
    <row r="20" spans="1:11" x14ac:dyDescent="0.25">
      <c r="A20" s="2">
        <v>19</v>
      </c>
      <c r="B20" s="2">
        <f t="shared" si="0"/>
        <v>6</v>
      </c>
      <c r="C20" s="2">
        <f t="shared" si="1"/>
        <v>5</v>
      </c>
      <c r="D20" s="2">
        <f t="shared" si="2"/>
        <v>47045881</v>
      </c>
      <c r="E20" s="2">
        <f t="shared" si="3"/>
        <v>32309964</v>
      </c>
      <c r="F20" s="2"/>
      <c r="G20" s="2">
        <f t="shared" si="4"/>
        <v>6000</v>
      </c>
      <c r="H20" s="2">
        <f t="shared" si="5"/>
        <v>5</v>
      </c>
      <c r="I20" s="2">
        <f>G20*H20</f>
        <v>30000</v>
      </c>
      <c r="J20" s="2"/>
      <c r="K20" s="2"/>
    </row>
    <row r="21" spans="1:11" x14ac:dyDescent="0.25">
      <c r="A21" s="2">
        <v>20</v>
      </c>
      <c r="B21" s="2">
        <f t="shared" si="0"/>
        <v>6</v>
      </c>
      <c r="C21" s="2">
        <f t="shared" si="1"/>
        <v>5</v>
      </c>
      <c r="D21" s="2">
        <f t="shared" si="2"/>
        <v>64000000</v>
      </c>
      <c r="E21" s="2">
        <f t="shared" si="3"/>
        <v>49264083</v>
      </c>
      <c r="F21" s="2"/>
      <c r="G21" s="2">
        <f t="shared" si="4"/>
        <v>6000</v>
      </c>
      <c r="H21" s="2">
        <f t="shared" si="5"/>
        <v>5</v>
      </c>
      <c r="I21" s="2">
        <f>G21*H21</f>
        <v>30000</v>
      </c>
      <c r="J21" s="2"/>
      <c r="K21" s="2"/>
    </row>
    <row r="22" spans="1:11" x14ac:dyDescent="0.25">
      <c r="A22" s="2">
        <v>21</v>
      </c>
      <c r="B22" s="2">
        <f t="shared" si="0"/>
        <v>6</v>
      </c>
      <c r="C22" s="2">
        <f t="shared" si="1"/>
        <v>5</v>
      </c>
      <c r="D22" s="2">
        <f t="shared" si="2"/>
        <v>85766121</v>
      </c>
      <c r="E22" s="2">
        <f t="shared" si="3"/>
        <v>71030204</v>
      </c>
      <c r="F22" s="2"/>
      <c r="G22" s="2">
        <f t="shared" si="4"/>
        <v>6000</v>
      </c>
      <c r="H22" s="2">
        <f t="shared" si="5"/>
        <v>5</v>
      </c>
      <c r="I22" s="2">
        <f>G22*H22</f>
        <v>30000</v>
      </c>
      <c r="J22" s="2"/>
      <c r="K22" s="2"/>
    </row>
    <row r="23" spans="1:11" x14ac:dyDescent="0.25">
      <c r="A23" s="2">
        <v>22</v>
      </c>
      <c r="B23" s="2">
        <f t="shared" si="0"/>
        <v>6</v>
      </c>
      <c r="C23" s="2">
        <f t="shared" si="1"/>
        <v>5</v>
      </c>
      <c r="D23" s="2">
        <f t="shared" si="2"/>
        <v>113379904</v>
      </c>
      <c r="E23" s="2">
        <f t="shared" si="3"/>
        <v>98643987</v>
      </c>
      <c r="F23" s="2"/>
      <c r="G23" s="2">
        <f t="shared" si="4"/>
        <v>6000</v>
      </c>
      <c r="H23" s="2">
        <f t="shared" si="5"/>
        <v>5</v>
      </c>
      <c r="I23" s="2">
        <f>G23*H23</f>
        <v>30000</v>
      </c>
      <c r="J23" s="2"/>
      <c r="K23" s="2"/>
    </row>
    <row r="24" spans="1:11" x14ac:dyDescent="0.25">
      <c r="A24" s="2">
        <v>23</v>
      </c>
      <c r="B24" s="2">
        <f t="shared" si="0"/>
        <v>6</v>
      </c>
      <c r="C24" s="2">
        <f t="shared" si="1"/>
        <v>5</v>
      </c>
      <c r="D24" s="2">
        <f t="shared" si="2"/>
        <v>148035889</v>
      </c>
      <c r="E24" s="2">
        <f t="shared" si="3"/>
        <v>133299972</v>
      </c>
      <c r="F24" s="2"/>
      <c r="G24" s="2">
        <f t="shared" si="4"/>
        <v>6000</v>
      </c>
      <c r="H24" s="2">
        <f t="shared" si="5"/>
        <v>5</v>
      </c>
      <c r="I24" s="2">
        <f>G24*H24</f>
        <v>30000</v>
      </c>
      <c r="J24" s="2"/>
      <c r="K24" s="2"/>
    </row>
    <row r="25" spans="1:11" x14ac:dyDescent="0.25">
      <c r="A25" s="2">
        <v>24</v>
      </c>
      <c r="B25" s="2">
        <f t="shared" si="0"/>
        <v>6</v>
      </c>
      <c r="C25" s="2">
        <f t="shared" si="1"/>
        <v>5</v>
      </c>
      <c r="D25" s="2">
        <f t="shared" si="2"/>
        <v>191102976</v>
      </c>
      <c r="E25" s="2">
        <f t="shared" si="3"/>
        <v>176367059</v>
      </c>
      <c r="F25" s="2"/>
      <c r="G25" s="2">
        <f t="shared" si="4"/>
        <v>6000</v>
      </c>
      <c r="H25" s="2">
        <f t="shared" si="5"/>
        <v>5</v>
      </c>
      <c r="I25" s="2">
        <f>G25*H25</f>
        <v>30000</v>
      </c>
      <c r="J25" s="2"/>
      <c r="K25" s="2"/>
    </row>
    <row r="26" spans="1:11" x14ac:dyDescent="0.25">
      <c r="A26" s="2">
        <v>25</v>
      </c>
      <c r="B26" s="2">
        <f t="shared" si="0"/>
        <v>6</v>
      </c>
      <c r="C26" s="2">
        <f t="shared" si="1"/>
        <v>5</v>
      </c>
      <c r="D26" s="2">
        <f t="shared" si="2"/>
        <v>244140625</v>
      </c>
      <c r="E26" s="2">
        <f t="shared" si="3"/>
        <v>229404708</v>
      </c>
      <c r="F26" s="2"/>
      <c r="G26" s="2">
        <f t="shared" si="4"/>
        <v>6000</v>
      </c>
      <c r="H26" s="2">
        <f t="shared" si="5"/>
        <v>5</v>
      </c>
      <c r="I26" s="2">
        <f>G26*H26</f>
        <v>30000</v>
      </c>
      <c r="J26" s="2"/>
      <c r="K26" s="2"/>
    </row>
    <row r="27" spans="1:11" x14ac:dyDescent="0.25">
      <c r="A27" s="2">
        <v>26</v>
      </c>
      <c r="B27" s="2">
        <f t="shared" si="0"/>
        <v>6</v>
      </c>
      <c r="C27" s="2">
        <f t="shared" si="1"/>
        <v>5</v>
      </c>
      <c r="D27" s="2">
        <f t="shared" si="2"/>
        <v>308915776</v>
      </c>
      <c r="E27" s="2">
        <f t="shared" si="3"/>
        <v>294179859</v>
      </c>
      <c r="F27" s="2"/>
      <c r="G27" s="2">
        <f t="shared" si="4"/>
        <v>6000</v>
      </c>
      <c r="H27" s="2">
        <f t="shared" si="5"/>
        <v>5</v>
      </c>
      <c r="I27" s="2">
        <f>G27*H27</f>
        <v>30000</v>
      </c>
      <c r="J27" s="2"/>
      <c r="K27" s="2"/>
    </row>
    <row r="28" spans="1:11" x14ac:dyDescent="0.25">
      <c r="A28" s="2">
        <v>27</v>
      </c>
      <c r="B28" s="2">
        <f t="shared" si="0"/>
        <v>6</v>
      </c>
      <c r="C28" s="2">
        <f t="shared" si="1"/>
        <v>5</v>
      </c>
      <c r="D28" s="2">
        <f t="shared" si="2"/>
        <v>387420489</v>
      </c>
      <c r="E28" s="2">
        <f t="shared" si="3"/>
        <v>372684572</v>
      </c>
      <c r="F28" s="2"/>
      <c r="G28" s="2">
        <f t="shared" si="4"/>
        <v>6000</v>
      </c>
      <c r="H28" s="2">
        <f t="shared" si="5"/>
        <v>5</v>
      </c>
      <c r="I28" s="2">
        <f>G28*H28</f>
        <v>30000</v>
      </c>
      <c r="J28" s="2"/>
      <c r="K28" s="2"/>
    </row>
    <row r="29" spans="1:11" x14ac:dyDescent="0.25">
      <c r="A29" s="2">
        <v>28</v>
      </c>
      <c r="B29" s="2">
        <f t="shared" si="0"/>
        <v>5</v>
      </c>
      <c r="C29" s="2">
        <f t="shared" si="1"/>
        <v>5</v>
      </c>
      <c r="D29" s="2">
        <f t="shared" si="2"/>
        <v>17210368</v>
      </c>
      <c r="E29" s="2">
        <f t="shared" si="3"/>
        <v>2474451</v>
      </c>
      <c r="F29" s="2"/>
      <c r="G29" s="2">
        <f t="shared" si="4"/>
        <v>5000</v>
      </c>
      <c r="H29" s="2">
        <f t="shared" si="5"/>
        <v>5</v>
      </c>
      <c r="I29" s="2">
        <f>G29*H29</f>
        <v>25000</v>
      </c>
      <c r="J29" s="2"/>
      <c r="K29" s="2"/>
    </row>
    <row r="30" spans="1:11" x14ac:dyDescent="0.25">
      <c r="A30" s="2">
        <v>29</v>
      </c>
      <c r="B30" s="2">
        <f t="shared" si="0"/>
        <v>5</v>
      </c>
      <c r="C30" s="2">
        <f t="shared" si="1"/>
        <v>5</v>
      </c>
      <c r="D30" s="2">
        <f t="shared" si="2"/>
        <v>20511149</v>
      </c>
      <c r="E30" s="2">
        <f t="shared" si="3"/>
        <v>5775232</v>
      </c>
      <c r="F30" s="2"/>
      <c r="G30" s="2">
        <f t="shared" si="4"/>
        <v>5000</v>
      </c>
      <c r="H30" s="2">
        <f t="shared" si="5"/>
        <v>5</v>
      </c>
      <c r="I30" s="2">
        <f>G30*H30</f>
        <v>25000</v>
      </c>
      <c r="J30" s="2"/>
      <c r="K30" s="2"/>
    </row>
    <row r="31" spans="1:11" x14ac:dyDescent="0.25">
      <c r="A31" s="2">
        <v>30</v>
      </c>
      <c r="B31" s="2">
        <f t="shared" si="0"/>
        <v>5</v>
      </c>
      <c r="C31" s="2">
        <f t="shared" si="1"/>
        <v>5</v>
      </c>
      <c r="D31" s="2">
        <f>A31^B31</f>
        <v>24300000</v>
      </c>
      <c r="E31" s="2">
        <f t="shared" si="3"/>
        <v>9564083</v>
      </c>
      <c r="F31" s="2"/>
      <c r="G31" s="2">
        <f t="shared" si="4"/>
        <v>5000</v>
      </c>
      <c r="H31" s="2">
        <f t="shared" si="5"/>
        <v>5</v>
      </c>
      <c r="I31" s="2">
        <f>G31*H31</f>
        <v>25000</v>
      </c>
      <c r="J31" s="2"/>
      <c r="K31" s="2"/>
    </row>
    <row r="32" spans="1:11" x14ac:dyDescent="0.25">
      <c r="A32" s="2">
        <v>31</v>
      </c>
      <c r="B32" s="2">
        <f t="shared" si="0"/>
        <v>5</v>
      </c>
      <c r="C32" s="2">
        <f t="shared" si="1"/>
        <v>5</v>
      </c>
      <c r="D32" s="2">
        <f t="shared" si="2"/>
        <v>28629151</v>
      </c>
      <c r="E32" s="2">
        <f t="shared" si="3"/>
        <v>13893234</v>
      </c>
      <c r="F32" s="2"/>
      <c r="G32" s="2">
        <f t="shared" si="4"/>
        <v>5000</v>
      </c>
      <c r="H32" s="2">
        <f t="shared" si="5"/>
        <v>5</v>
      </c>
      <c r="I32" s="2">
        <f>G32*H32</f>
        <v>25000</v>
      </c>
      <c r="J32" s="2"/>
      <c r="K32" s="2"/>
    </row>
    <row r="33" spans="1:11" x14ac:dyDescent="0.25">
      <c r="A33" s="2">
        <v>32</v>
      </c>
      <c r="B33" s="2">
        <f t="shared" si="0"/>
        <v>5</v>
      </c>
      <c r="C33" s="2">
        <f t="shared" si="1"/>
        <v>5</v>
      </c>
      <c r="D33" s="2">
        <f t="shared" si="2"/>
        <v>33554432</v>
      </c>
      <c r="E33" s="2">
        <f t="shared" si="3"/>
        <v>18818515</v>
      </c>
      <c r="F33" s="2"/>
      <c r="G33" s="2">
        <f t="shared" si="4"/>
        <v>5000</v>
      </c>
      <c r="H33" s="2">
        <f t="shared" si="5"/>
        <v>5</v>
      </c>
      <c r="I33" s="2">
        <f>G33*H33</f>
        <v>25000</v>
      </c>
      <c r="J33" s="2"/>
      <c r="K33" s="2"/>
    </row>
    <row r="34" spans="1:11" x14ac:dyDescent="0.25">
      <c r="A34" s="2">
        <v>33</v>
      </c>
      <c r="B34" s="2">
        <f t="shared" si="0"/>
        <v>5</v>
      </c>
      <c r="C34" s="2">
        <f t="shared" si="1"/>
        <v>6</v>
      </c>
      <c r="D34" s="2">
        <f t="shared" si="2"/>
        <v>39135393</v>
      </c>
      <c r="E34" s="2">
        <f t="shared" si="3"/>
        <v>24399476</v>
      </c>
      <c r="F34" s="2"/>
      <c r="G34" s="2">
        <f t="shared" si="4"/>
        <v>5000</v>
      </c>
      <c r="H34" s="2">
        <f t="shared" si="5"/>
        <v>6</v>
      </c>
      <c r="I34" s="2">
        <f>G34*H34</f>
        <v>30000</v>
      </c>
      <c r="J34" s="2"/>
      <c r="K34" s="2"/>
    </row>
    <row r="35" spans="1:11" x14ac:dyDescent="0.25">
      <c r="A35" s="2">
        <v>34</v>
      </c>
      <c r="B35" s="2">
        <f t="shared" si="0"/>
        <v>5</v>
      </c>
      <c r="C35" s="2">
        <f t="shared" si="1"/>
        <v>6</v>
      </c>
      <c r="D35" s="2">
        <f t="shared" si="2"/>
        <v>45435424</v>
      </c>
      <c r="E35" s="2">
        <f t="shared" si="3"/>
        <v>30699507</v>
      </c>
      <c r="F35" s="2"/>
      <c r="G35" s="2">
        <f t="shared" si="4"/>
        <v>5000</v>
      </c>
      <c r="H35" s="2">
        <f t="shared" si="5"/>
        <v>6</v>
      </c>
      <c r="I35" s="2">
        <f>G35*H35</f>
        <v>30000</v>
      </c>
      <c r="J35" s="2"/>
      <c r="K35" s="2"/>
    </row>
    <row r="36" spans="1:11" x14ac:dyDescent="0.25">
      <c r="A36" s="2">
        <v>35</v>
      </c>
      <c r="B36" s="2">
        <f t="shared" si="0"/>
        <v>5</v>
      </c>
      <c r="C36" s="2">
        <f t="shared" si="1"/>
        <v>6</v>
      </c>
      <c r="D36" s="2">
        <f t="shared" si="2"/>
        <v>52521875</v>
      </c>
      <c r="E36" s="2">
        <f t="shared" si="3"/>
        <v>37785958</v>
      </c>
      <c r="F36" s="2"/>
      <c r="G36" s="2">
        <f t="shared" si="4"/>
        <v>5000</v>
      </c>
      <c r="H36" s="2">
        <f t="shared" si="5"/>
        <v>6</v>
      </c>
      <c r="I36" s="2">
        <f>G36*H36</f>
        <v>30000</v>
      </c>
      <c r="J36" s="2"/>
      <c r="K36" s="2"/>
    </row>
    <row r="37" spans="1:11" x14ac:dyDescent="0.25">
      <c r="A37" s="2">
        <v>36</v>
      </c>
      <c r="B37" s="2">
        <f t="shared" si="0"/>
        <v>5</v>
      </c>
      <c r="C37" s="2">
        <f t="shared" si="1"/>
        <v>6</v>
      </c>
      <c r="D37" s="2">
        <f t="shared" si="2"/>
        <v>60466176</v>
      </c>
      <c r="E37" s="2">
        <f t="shared" si="3"/>
        <v>45730259</v>
      </c>
      <c r="F37" s="2"/>
      <c r="G37" s="2">
        <f t="shared" si="4"/>
        <v>5000</v>
      </c>
      <c r="H37" s="2">
        <f t="shared" si="5"/>
        <v>6</v>
      </c>
      <c r="I37" s="2">
        <f>G37*H37</f>
        <v>30000</v>
      </c>
      <c r="J37" s="2"/>
      <c r="K37" s="2"/>
    </row>
    <row r="38" spans="1:11" x14ac:dyDescent="0.25">
      <c r="A38" s="2">
        <v>37</v>
      </c>
      <c r="B38" s="2">
        <f t="shared" si="0"/>
        <v>5</v>
      </c>
      <c r="C38" s="2">
        <f t="shared" si="1"/>
        <v>6</v>
      </c>
      <c r="D38" s="2">
        <f t="shared" si="2"/>
        <v>69343957</v>
      </c>
      <c r="E38" s="2">
        <f t="shared" si="3"/>
        <v>54608040</v>
      </c>
      <c r="F38" s="2"/>
      <c r="G38" s="2">
        <f t="shared" si="4"/>
        <v>5000</v>
      </c>
      <c r="H38" s="2">
        <f t="shared" si="5"/>
        <v>6</v>
      </c>
      <c r="I38" s="2">
        <f>G38*H38</f>
        <v>30000</v>
      </c>
      <c r="J38" s="2"/>
      <c r="K38" s="2"/>
    </row>
    <row r="39" spans="1:11" x14ac:dyDescent="0.25">
      <c r="A39" s="2">
        <v>38</v>
      </c>
      <c r="B39" s="2">
        <f t="shared" si="0"/>
        <v>5</v>
      </c>
      <c r="C39" s="2">
        <f t="shared" si="1"/>
        <v>6</v>
      </c>
      <c r="D39" s="2">
        <f t="shared" si="2"/>
        <v>79235168</v>
      </c>
      <c r="E39" s="2">
        <f t="shared" si="3"/>
        <v>64499251</v>
      </c>
      <c r="F39" s="2"/>
      <c r="G39" s="2">
        <f t="shared" si="4"/>
        <v>5000</v>
      </c>
      <c r="H39" s="2">
        <f t="shared" si="5"/>
        <v>6</v>
      </c>
      <c r="I39" s="2">
        <f>G39*H39</f>
        <v>30000</v>
      </c>
      <c r="J39" s="2"/>
      <c r="K39" s="2"/>
    </row>
    <row r="40" spans="1:11" x14ac:dyDescent="0.25">
      <c r="A40" s="2">
        <v>39</v>
      </c>
      <c r="B40" s="2">
        <f t="shared" si="0"/>
        <v>5</v>
      </c>
      <c r="C40" s="2">
        <f t="shared" si="1"/>
        <v>6</v>
      </c>
      <c r="D40" s="2">
        <f t="shared" si="2"/>
        <v>90224199</v>
      </c>
      <c r="E40" s="2">
        <f t="shared" si="3"/>
        <v>75488282</v>
      </c>
      <c r="F40" s="2"/>
      <c r="G40" s="2">
        <f t="shared" si="4"/>
        <v>5000</v>
      </c>
      <c r="H40" s="2">
        <f t="shared" si="5"/>
        <v>6</v>
      </c>
      <c r="I40" s="2">
        <f>G40*H40</f>
        <v>30000</v>
      </c>
      <c r="J40" s="2"/>
      <c r="K40" s="2"/>
    </row>
    <row r="41" spans="1:11" x14ac:dyDescent="0.25">
      <c r="A41" s="2">
        <v>40</v>
      </c>
      <c r="B41" s="2">
        <f t="shared" si="0"/>
        <v>5</v>
      </c>
      <c r="C41" s="2">
        <f t="shared" si="1"/>
        <v>6</v>
      </c>
      <c r="D41" s="2">
        <f t="shared" si="2"/>
        <v>102400000</v>
      </c>
      <c r="E41" s="2">
        <f t="shared" si="3"/>
        <v>87664083</v>
      </c>
      <c r="F41" s="2"/>
      <c r="G41" s="2">
        <f t="shared" si="4"/>
        <v>5000</v>
      </c>
      <c r="H41" s="2">
        <f t="shared" si="5"/>
        <v>6</v>
      </c>
      <c r="I41" s="2">
        <f>G41*H41</f>
        <v>30000</v>
      </c>
      <c r="J41" s="2"/>
      <c r="K41" s="2"/>
    </row>
    <row r="42" spans="1:11" x14ac:dyDescent="0.25">
      <c r="A42" s="2">
        <v>41</v>
      </c>
      <c r="B42" s="2">
        <f t="shared" si="0"/>
        <v>5</v>
      </c>
      <c r="C42" s="2">
        <f t="shared" si="1"/>
        <v>6</v>
      </c>
      <c r="D42" s="2">
        <f t="shared" si="2"/>
        <v>115856201</v>
      </c>
      <c r="E42" s="2">
        <f t="shared" si="3"/>
        <v>101120284</v>
      </c>
      <c r="F42" s="2"/>
      <c r="G42" s="2">
        <f t="shared" si="4"/>
        <v>5000</v>
      </c>
      <c r="H42" s="2">
        <f t="shared" si="5"/>
        <v>6</v>
      </c>
      <c r="I42" s="2">
        <f>G42*H42</f>
        <v>30000</v>
      </c>
      <c r="J42" s="2"/>
      <c r="K42" s="2"/>
    </row>
    <row r="43" spans="1:11" x14ac:dyDescent="0.25">
      <c r="A43" s="2">
        <v>42</v>
      </c>
      <c r="B43" s="2">
        <f t="shared" si="0"/>
        <v>5</v>
      </c>
      <c r="C43" s="2">
        <f t="shared" si="1"/>
        <v>6</v>
      </c>
      <c r="D43" s="2">
        <f t="shared" si="2"/>
        <v>130691232</v>
      </c>
      <c r="E43" s="2">
        <f t="shared" si="3"/>
        <v>115955315</v>
      </c>
      <c r="F43" s="2"/>
      <c r="G43" s="2">
        <f t="shared" si="4"/>
        <v>5000</v>
      </c>
      <c r="H43" s="2">
        <f t="shared" si="5"/>
        <v>6</v>
      </c>
      <c r="I43" s="2">
        <f>G43*H43</f>
        <v>30000</v>
      </c>
      <c r="J43" s="2"/>
      <c r="K43" s="2"/>
    </row>
    <row r="44" spans="1:11" x14ac:dyDescent="0.25">
      <c r="A44" s="2">
        <v>43</v>
      </c>
      <c r="B44" s="2">
        <f t="shared" si="0"/>
        <v>5</v>
      </c>
      <c r="C44" s="2">
        <f t="shared" si="1"/>
        <v>6</v>
      </c>
      <c r="D44" s="2">
        <f t="shared" si="2"/>
        <v>147008443</v>
      </c>
      <c r="E44" s="2">
        <f t="shared" si="3"/>
        <v>132272526</v>
      </c>
      <c r="F44" s="2"/>
      <c r="G44" s="2">
        <f t="shared" si="4"/>
        <v>5000</v>
      </c>
      <c r="H44" s="2">
        <f t="shared" si="5"/>
        <v>6</v>
      </c>
      <c r="I44" s="2">
        <f>G44*H44</f>
        <v>30000</v>
      </c>
      <c r="J44" s="2"/>
      <c r="K44" s="2"/>
    </row>
    <row r="45" spans="1:11" x14ac:dyDescent="0.25">
      <c r="A45" s="2">
        <v>44</v>
      </c>
      <c r="B45" s="2">
        <f t="shared" si="0"/>
        <v>5</v>
      </c>
      <c r="C45" s="2">
        <f t="shared" si="1"/>
        <v>6</v>
      </c>
      <c r="D45" s="2">
        <f t="shared" si="2"/>
        <v>164916224</v>
      </c>
      <c r="E45" s="2">
        <f t="shared" si="3"/>
        <v>150180307</v>
      </c>
      <c r="F45" s="2"/>
      <c r="G45" s="2">
        <f t="shared" si="4"/>
        <v>5000</v>
      </c>
      <c r="H45" s="2">
        <f t="shared" si="5"/>
        <v>6</v>
      </c>
      <c r="I45" s="2">
        <f>G45*H45</f>
        <v>30000</v>
      </c>
      <c r="J45" s="2"/>
      <c r="K45" s="2"/>
    </row>
    <row r="46" spans="1:11" x14ac:dyDescent="0.25">
      <c r="A46" s="2">
        <v>45</v>
      </c>
      <c r="B46" s="2">
        <f t="shared" si="0"/>
        <v>5</v>
      </c>
      <c r="C46" s="2">
        <f t="shared" si="1"/>
        <v>6</v>
      </c>
      <c r="D46" s="2">
        <f t="shared" si="2"/>
        <v>184528125</v>
      </c>
      <c r="E46" s="2">
        <f t="shared" si="3"/>
        <v>169792208</v>
      </c>
      <c r="F46" s="2"/>
      <c r="G46" s="2">
        <f t="shared" si="4"/>
        <v>5000</v>
      </c>
      <c r="H46" s="2">
        <f t="shared" si="5"/>
        <v>6</v>
      </c>
      <c r="I46" s="2">
        <f>G46*H46</f>
        <v>30000</v>
      </c>
      <c r="J46" s="2"/>
      <c r="K46" s="2"/>
    </row>
    <row r="47" spans="1:11" x14ac:dyDescent="0.25">
      <c r="A47" s="2">
        <v>46</v>
      </c>
      <c r="B47" s="2">
        <f t="shared" si="0"/>
        <v>5</v>
      </c>
      <c r="C47" s="2">
        <f t="shared" si="1"/>
        <v>6</v>
      </c>
      <c r="D47" s="2">
        <f t="shared" si="2"/>
        <v>205962976</v>
      </c>
      <c r="E47" s="2">
        <f t="shared" si="3"/>
        <v>191227059</v>
      </c>
      <c r="F47" s="2"/>
      <c r="G47" s="2">
        <f t="shared" si="4"/>
        <v>5000</v>
      </c>
      <c r="H47" s="2">
        <f t="shared" si="5"/>
        <v>6</v>
      </c>
      <c r="I47" s="2">
        <f>G47*H47</f>
        <v>30000</v>
      </c>
      <c r="J47" s="2"/>
      <c r="K47" s="2"/>
    </row>
    <row r="48" spans="1:11" x14ac:dyDescent="0.25">
      <c r="A48" s="2">
        <v>47</v>
      </c>
      <c r="B48" s="2">
        <f t="shared" si="0"/>
        <v>5</v>
      </c>
      <c r="C48" s="2">
        <f t="shared" si="1"/>
        <v>6</v>
      </c>
      <c r="D48" s="2">
        <f t="shared" si="2"/>
        <v>229345007</v>
      </c>
      <c r="E48" s="2">
        <f t="shared" si="3"/>
        <v>214609090</v>
      </c>
      <c r="F48" s="2"/>
      <c r="G48" s="2">
        <f t="shared" si="4"/>
        <v>5000</v>
      </c>
      <c r="H48" s="2">
        <f t="shared" si="5"/>
        <v>6</v>
      </c>
      <c r="I48" s="2">
        <f>G48*H48</f>
        <v>30000</v>
      </c>
      <c r="J48" s="2"/>
      <c r="K48" s="2"/>
    </row>
    <row r="49" spans="1:11" x14ac:dyDescent="0.25">
      <c r="A49" s="2">
        <v>48</v>
      </c>
      <c r="B49" s="2">
        <f t="shared" si="0"/>
        <v>5</v>
      </c>
      <c r="C49" s="2">
        <f t="shared" si="1"/>
        <v>6</v>
      </c>
      <c r="D49" s="2">
        <f t="shared" si="2"/>
        <v>254803968</v>
      </c>
      <c r="E49" s="2">
        <f t="shared" si="3"/>
        <v>240068051</v>
      </c>
      <c r="F49" s="2"/>
      <c r="G49" s="2">
        <f t="shared" si="4"/>
        <v>5000</v>
      </c>
      <c r="H49" s="2">
        <f t="shared" si="5"/>
        <v>6</v>
      </c>
      <c r="I49" s="2">
        <f>G49*H49</f>
        <v>30000</v>
      </c>
      <c r="J49" s="2"/>
      <c r="K49" s="2"/>
    </row>
    <row r="50" spans="1:11" x14ac:dyDescent="0.25">
      <c r="A50" s="2">
        <v>49</v>
      </c>
      <c r="B50" s="2">
        <f t="shared" si="0"/>
        <v>5</v>
      </c>
      <c r="C50" s="2">
        <f t="shared" si="1"/>
        <v>6</v>
      </c>
      <c r="D50" s="2">
        <f t="shared" si="2"/>
        <v>282475249</v>
      </c>
      <c r="E50" s="2">
        <f t="shared" si="3"/>
        <v>267739332</v>
      </c>
      <c r="F50" s="2"/>
      <c r="G50" s="2">
        <f t="shared" si="4"/>
        <v>5000</v>
      </c>
      <c r="H50" s="2">
        <f t="shared" si="5"/>
        <v>6</v>
      </c>
      <c r="I50" s="2">
        <f>G50*H50</f>
        <v>30000</v>
      </c>
      <c r="J50" s="2"/>
      <c r="K50" s="2"/>
    </row>
    <row r="51" spans="1:11" x14ac:dyDescent="0.25">
      <c r="A51" s="2">
        <v>50</v>
      </c>
      <c r="B51" s="2">
        <f t="shared" si="0"/>
        <v>5</v>
      </c>
      <c r="C51" s="2">
        <f t="shared" si="1"/>
        <v>6</v>
      </c>
      <c r="D51" s="2">
        <f t="shared" si="2"/>
        <v>312500000</v>
      </c>
      <c r="E51" s="2">
        <f t="shared" si="3"/>
        <v>297764083</v>
      </c>
      <c r="F51" s="2"/>
      <c r="G51" s="2">
        <f t="shared" si="4"/>
        <v>5000</v>
      </c>
      <c r="H51" s="2">
        <f t="shared" si="5"/>
        <v>6</v>
      </c>
      <c r="I51" s="2">
        <f>G51*H51</f>
        <v>30000</v>
      </c>
      <c r="J51" s="2"/>
      <c r="K51" s="2"/>
    </row>
  </sheetData>
  <conditionalFormatting sqref="E3:E51">
    <cfRule type="cellIs" dxfId="2" priority="2" operator="equal">
      <formula>$F$3</formula>
    </cfRule>
    <cfRule type="cellIs" dxfId="1" priority="4" operator="equal">
      <formula>#REF!</formula>
    </cfRule>
  </conditionalFormatting>
  <conditionalFormatting sqref="I3:I51">
    <cfRule type="cellIs" dxfId="0" priority="1" operator="equal">
      <formula>$J$3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LICENCIAS LABORATORIOS</dc:creator>
  <cp:lastModifiedBy>ADMINISTRACIÓN LICENCIAS LABORATORIOS</cp:lastModifiedBy>
  <dcterms:created xsi:type="dcterms:W3CDTF">2026-08-11T16:03:06Z</dcterms:created>
  <dcterms:modified xsi:type="dcterms:W3CDTF">2026-08-11T16:55:58Z</dcterms:modified>
</cp:coreProperties>
</file>